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_Giai_Doan_Waterfall" sheetId="1" state="visible" r:id="rId1"/>
    <sheet xmlns:r="http://schemas.openxmlformats.org/officeDocument/2006/relationships" name="Chi_Phi_Va_Ngan_Sa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C00000"/>
      <sz val="11"/>
    </font>
    <font>
      <name val="Calibri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3" fontId="3" fillId="0" borderId="1" pivotButton="0" quotePrefix="0" xfId="0"/>
    <xf numFmtId="3" fontId="5" fillId="0" borderId="1" pivotButton="0" quotePrefix="0" xfId="0"/>
    <xf numFmtId="3" fontId="6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64" customWidth="1" min="3" max="3"/>
    <col width="52" customWidth="1" min="4" max="4"/>
  </cols>
  <sheetData>
    <row r="1">
      <c r="A1" s="1" t="inlineStr">
        <is>
          <t>BẢNG 5 GIAI ĐOẠN WATERFALL - DỰ ÁN MEDIBOOK</t>
        </is>
      </c>
      <c r="B1" s="1" t="n"/>
      <c r="C1" s="1" t="n"/>
      <c r="D1" s="1" t="n"/>
    </row>
    <row r="2">
      <c r="A2" s="1" t="n"/>
      <c r="B2" s="1" t="n"/>
      <c r="C2" s="1" t="n"/>
      <c r="D2" s="1" t="n"/>
    </row>
    <row r="3">
      <c r="A3" s="2" t="inlineStr">
        <is>
          <t>Giai đoạn</t>
        </is>
      </c>
      <c r="B3" s="2" t="inlineStr">
        <is>
          <t>Thời gian</t>
        </is>
      </c>
      <c r="C3" s="2" t="inlineStr">
        <is>
          <t>Sản phẩm bàn giao</t>
        </is>
      </c>
      <c r="D3" s="2" t="inlineStr">
        <is>
          <t>Khách hàng có nhìn thấy phần mềm chạy được không</t>
        </is>
      </c>
    </row>
    <row r="4">
      <c r="A4" s="3" t="inlineStr">
        <is>
          <t>1. Thu thập &amp; Phân tích yêu cầu</t>
        </is>
      </c>
      <c r="B4" s="3" t="inlineStr">
        <is>
          <t>05/01 - 20/02</t>
        </is>
      </c>
      <c r="C4" s="3" t="inlineStr">
        <is>
          <t>Tài liệu đặc tả yêu cầu phần mềm (SRS 120 trang), ký chốt hợp đồng</t>
        </is>
      </c>
      <c r="D4" s="4" t="inlineStr">
        <is>
          <t>Không</t>
        </is>
      </c>
    </row>
    <row r="5">
      <c r="A5" s="3" t="inlineStr">
        <is>
          <t>2. Thiết kế hệ thống &amp; UI/UX</t>
        </is>
      </c>
      <c r="B5" s="3" t="inlineStr">
        <is>
          <t>21/02 - 25/03</t>
        </is>
      </c>
      <c r="C5" s="3" t="inlineStr">
        <is>
          <t>Bản thiết kế giao diện UI/UX và tài liệu kiến trúc hệ thống</t>
        </is>
      </c>
      <c r="D5" s="4" t="inlineStr">
        <is>
          <t>Không</t>
        </is>
      </c>
    </row>
    <row r="6">
      <c r="A6" s="3" t="inlineStr">
        <is>
          <t>3. Lập trình / Phát triển</t>
        </is>
      </c>
      <c r="B6" s="3" t="inlineStr">
        <is>
          <t>26/03 - 31/05</t>
        </is>
      </c>
      <c r="C6" s="3" t="inlineStr">
        <is>
          <t>Mã nguồn các tính năng đã chốt (Source code, bản dựng nội bộ)</t>
        </is>
      </c>
      <c r="D6" s="4" t="inlineStr">
        <is>
          <t>Không</t>
        </is>
      </c>
    </row>
    <row r="7">
      <c r="A7" s="3" t="inlineStr">
        <is>
          <t>4. Kiểm thử (Testing / QA)</t>
        </is>
      </c>
      <c r="B7" s="3" t="inlineStr">
        <is>
          <t>01/06 - 25/06</t>
        </is>
      </c>
      <c r="C7" s="3" t="inlineStr">
        <is>
          <t>Bản dựng phần mềm chạy được đầu tiên (Working build), biên bản kiểm thử</t>
        </is>
      </c>
      <c r="D7" s="5" t="inlineStr">
        <is>
          <t>Có</t>
        </is>
      </c>
    </row>
    <row r="8">
      <c r="A8" s="3" t="inlineStr">
        <is>
          <t>5. Triển khai &amp; Go-live</t>
        </is>
      </c>
      <c r="B8" s="3" t="inlineStr">
        <is>
          <t>26/06 - 05/07</t>
        </is>
      </c>
      <c r="C8" s="3" t="inlineStr">
        <is>
          <t>Hệ thống MediBook triển khai chính thức trên môi trường thực tế (Production)</t>
        </is>
      </c>
      <c r="D8" s="4" t="inlineStr">
        <is>
          <t>Không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4" customWidth="1" min="1" max="1"/>
    <col width="23" customWidth="1" min="2" max="2"/>
    <col width="64" customWidth="1" min="3" max="3"/>
    <col width="54" customWidth="1" min="4" max="4"/>
  </cols>
  <sheetData>
    <row r="1">
      <c r="A1" s="1" t="inlineStr">
        <is>
          <t>TÍNH TOÁN KHOẢNG MÙ THÔNG TIN VÀ CHI PHÍ PHÁT SINH</t>
        </is>
      </c>
      <c r="B1" s="1" t="n"/>
      <c r="C1" s="1" t="n"/>
      <c r="D1" s="1" t="n"/>
    </row>
    <row r="2">
      <c r="A2" s="1" t="n"/>
      <c r="B2" s="1" t="n"/>
      <c r="C2" s="1" t="n"/>
      <c r="D2" s="1" t="n"/>
    </row>
    <row r="3">
      <c r="A3" s="1" t="inlineStr">
        <is>
          <t>1. KHOẢNG MÙ THÔNG TIN (KHOANG_MU_THONG_TIN)</t>
        </is>
      </c>
      <c r="B3" s="1" t="n"/>
      <c r="C3" s="1" t="n"/>
      <c r="D3" s="1" t="n"/>
    </row>
    <row r="4">
      <c r="A4" s="1" t="inlineStr">
        <is>
          <t>Ngày khởi động dự án</t>
        </is>
      </c>
      <c r="B4" s="1" t="inlineStr">
        <is>
          <t>05/01</t>
        </is>
      </c>
      <c r="C4" s="1" t="n"/>
      <c r="D4" s="1" t="n"/>
    </row>
    <row r="5">
      <c r="A5" s="1" t="inlineStr">
        <is>
          <t>Mốc đầu tiên khách hàng xem bản chạy được</t>
        </is>
      </c>
      <c r="B5" s="1" t="inlineStr">
        <is>
          <t>01/06</t>
        </is>
      </c>
      <c r="C5" s="1" t="n"/>
      <c r="D5" s="1" t="n"/>
    </row>
    <row r="6">
      <c r="A6" s="1" t="inlineStr">
        <is>
          <t>khoang_mu_thong_tin (ngày)</t>
        </is>
      </c>
      <c r="B6" s="1" t="n">
        <v>147</v>
      </c>
      <c r="C6" s="1" t="inlineStr">
        <is>
          <t>ngày (27 ngày T1 + 28 ngày T2 + 31 ngày T3 + 30 ngày T4 + 31 ngày T5 = 147 ngày)</t>
        </is>
      </c>
      <c r="D6" s="1" t="n"/>
    </row>
    <row r="7">
      <c r="A7" s="1" t="n"/>
      <c r="B7" s="1" t="n"/>
      <c r="C7" s="1" t="n"/>
      <c r="D7" s="1" t="n"/>
    </row>
    <row r="8">
      <c r="A8" s="1" t="inlineStr">
        <is>
          <t>2. BẢNG TÍNH TOÁN CHI PHÍ &amp; NGÂN SÁCH PHÁT SINH</t>
        </is>
      </c>
      <c r="B8" s="1" t="n"/>
      <c r="C8" s="1" t="n"/>
      <c r="D8" s="1" t="n"/>
    </row>
    <row r="9">
      <c r="A9" s="1" t="n"/>
      <c r="B9" s="1" t="n"/>
      <c r="C9" s="1" t="n"/>
      <c r="D9" s="1" t="n"/>
    </row>
    <row r="10">
      <c r="A10" s="6" t="inlineStr">
        <is>
          <t>Chỉ số / Khoản mục</t>
        </is>
      </c>
      <c r="B10" s="6" t="inlineStr">
        <is>
          <t>Giá trị / Công thức</t>
        </is>
      </c>
      <c r="C10" s="6" t="inlineStr">
        <is>
          <t>Đơn vị tính</t>
        </is>
      </c>
      <c r="D10" s="6" t="inlineStr">
        <is>
          <t>Ghi chú công thức</t>
        </is>
      </c>
    </row>
    <row r="11">
      <c r="A11" s="3" t="inlineStr">
        <is>
          <t>Số lượng nhân sự</t>
        </is>
      </c>
      <c r="B11" s="3" t="n">
        <v>8</v>
      </c>
      <c r="C11" s="3" t="inlineStr">
        <is>
          <t>người</t>
        </is>
      </c>
      <c r="D11" s="3" t="inlineStr">
        <is>
          <t>1 PM, 1 BA, 4 Dev, 2 Tester (Thử đổi lên 10 người)</t>
        </is>
      </c>
    </row>
    <row r="12">
      <c r="A12" s="3" t="inlineStr">
        <is>
          <t>Chi phí nhân sự / người / tháng</t>
        </is>
      </c>
      <c r="B12" s="7" t="n">
        <v>25000000</v>
      </c>
      <c r="C12" s="3" t="inlineStr">
        <is>
          <t>VNĐ</t>
        </is>
      </c>
      <c r="D12" s="3" t="inlineStr">
        <is>
          <t>Định mức chi phí 25.000.000đ/người/tháng</t>
        </is>
      </c>
    </row>
    <row r="13">
      <c r="A13" s="3" t="inlineStr">
        <is>
          <t>Thời gian phát sinh kéo dài</t>
        </is>
      </c>
      <c r="B13" s="3" t="n">
        <v>3</v>
      </c>
      <c r="C13" s="3" t="inlineStr">
        <is>
          <t>tháng</t>
        </is>
      </c>
      <c r="D13" s="3" t="inlineStr">
        <is>
          <t>Ước tính phát sinh thêm cho cả team</t>
        </is>
      </c>
    </row>
    <row r="14">
      <c r="A14" s="3" t="inlineStr">
        <is>
          <t>Chi phí phát sinh</t>
        </is>
      </c>
      <c r="B14" s="8">
        <f>B11*B12*B13</f>
        <v/>
      </c>
      <c r="C14" s="3" t="inlineStr">
        <is>
          <t>VNĐ</t>
        </is>
      </c>
      <c r="D14" s="3" t="inlineStr">
        <is>
          <t>Công thức: =Số người * Chi phí * Số tháng</t>
        </is>
      </c>
    </row>
    <row r="15">
      <c r="A15" s="3" t="inlineStr">
        <is>
          <t>Ngân sách ban đầu</t>
        </is>
      </c>
      <c r="B15" s="7" t="n">
        <v>1800000000</v>
      </c>
      <c r="C15" s="3" t="inlineStr">
        <is>
          <t>VNĐ</t>
        </is>
      </c>
      <c r="D15" s="3" t="inlineStr">
        <is>
          <t>Ngân sách ban đầu đã phê duyệt</t>
        </is>
      </c>
    </row>
    <row r="16">
      <c r="A16" s="3" t="inlineStr">
        <is>
          <t>Tổng ngân sách mới</t>
        </is>
      </c>
      <c r="B16" s="9">
        <f>SUM(B14,B15)</f>
        <v/>
      </c>
      <c r="C16" s="3" t="inlineStr">
        <is>
          <t>VNĐ</t>
        </is>
      </c>
      <c r="D16" s="3" t="inlineStr">
        <is>
          <t>Công thức hàm SUM: =SUM(B14,B15)</t>
        </is>
      </c>
    </row>
    <row r="17">
      <c r="A17" s="3" t="inlineStr">
        <is>
          <t>Tỷ lệ vượt ngân sách</t>
        </is>
      </c>
      <c r="B17" s="10">
        <f>B14/B15</f>
        <v/>
      </c>
      <c r="C17" s="3" t="inlineStr">
        <is>
          <t>%</t>
        </is>
      </c>
      <c r="D17" s="3" t="inlineStr">
        <is>
          <t>Công thức: =Chi phí phát sinh / Ngân sách ban đầu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2026-10-20T12:11:44Z</dcterms:created>
  <dcterms:modified xmlns:dcterms="http://purl.org/dc/terms/" xmlns:xsi="http://www.w3.org/2001/XMLSchema-instance" xsi:type="dcterms:W3CDTF">2026-10-20T12:11:44Z</dcterms:modified>
</cp:coreProperties>
</file>